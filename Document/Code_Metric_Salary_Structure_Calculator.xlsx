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m\Downloads\"/>
    </mc:Choice>
  </mc:AlternateContent>
  <xr:revisionPtr revIDLastSave="0" documentId="13_ncr:1_{0DE81BCF-2033-45E6-9A9C-95797EBE17F6}" xr6:coauthVersionLast="47" xr6:coauthVersionMax="47" xr10:uidLastSave="{00000000-0000-0000-0000-000000000000}"/>
  <bookViews>
    <workbookView xWindow="10245" yWindow="0" windowWidth="10245" windowHeight="11520" tabRatio="500" xr2:uid="{00000000-000D-0000-FFFF-FFFF00000000}"/>
  </bookViews>
  <sheets>
    <sheet name="Salary Structure" sheetId="1" r:id="rId1"/>
  </sheets>
  <definedNames>
    <definedName name="_xlnm.Print_Area" localSheetId="0">'Salary Structure'!$A$1:$D$39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1" l="1"/>
  <c r="D15" i="1" s="1"/>
  <c r="D14" i="1"/>
  <c r="C14" i="1"/>
  <c r="C20" i="1"/>
  <c r="D20" i="1" s="1"/>
  <c r="C19" i="1" l="1"/>
  <c r="B6" i="1"/>
  <c r="D19" i="1"/>
  <c r="C12" i="1"/>
  <c r="D12" i="1" l="1"/>
  <c r="C18" i="1"/>
  <c r="C13" i="1"/>
  <c r="D13" i="1" s="1"/>
  <c r="C21" i="1" l="1"/>
  <c r="D18" i="1"/>
  <c r="D21" i="1" s="1"/>
  <c r="C16" i="1"/>
  <c r="A23" i="1" l="1"/>
  <c r="D16" i="1"/>
  <c r="D17" i="1" s="1"/>
  <c r="D22" i="1" s="1"/>
  <c r="C17" i="1"/>
  <c r="C22" i="1" s="1"/>
</calcChain>
</file>

<file path=xl/sharedStrings.xml><?xml version="1.0" encoding="utf-8"?>
<sst xmlns="http://schemas.openxmlformats.org/spreadsheetml/2006/main" count="41" uniqueCount="41">
  <si>
    <t>CODE METRIC  —  SALARY STRUCTURE CALCULATOR</t>
  </si>
  <si>
    <t>Salary Entered As:</t>
  </si>
  <si>
    <t>Monthly</t>
  </si>
  <si>
    <t>Salary Amount (₹):</t>
  </si>
  <si>
    <t>→ Equivalent Monthly Gross (₹):</t>
  </si>
  <si>
    <t>→ Equivalent Annual Gross (₹):</t>
  </si>
  <si>
    <t>↑ Pick Monthly or Yearly from the dropdown, enter the amount once — the whole table below (both the monthly and annual columns) updates automatically.</t>
  </si>
  <si>
    <t>Annexure</t>
  </si>
  <si>
    <t>SALARY STRUCTURE</t>
  </si>
  <si>
    <t>BREAK UP OF THE SALARY</t>
  </si>
  <si>
    <t>Break up of Salary Per month Amount (Rs.)</t>
  </si>
  <si>
    <t>Break up of Salary P.A. Amount (Rs.)</t>
  </si>
  <si>
    <t>Pay Heads</t>
  </si>
  <si>
    <t>Basic</t>
  </si>
  <si>
    <t>HRA</t>
  </si>
  <si>
    <t>Conveyance</t>
  </si>
  <si>
    <t>Medical Allowance</t>
  </si>
  <si>
    <t>Special Allowance</t>
  </si>
  <si>
    <t>Gross Salary (A)</t>
  </si>
  <si>
    <t>Deductions</t>
  </si>
  <si>
    <t>Provident Fund</t>
  </si>
  <si>
    <t>Professional Tax</t>
  </si>
  <si>
    <t>ESIC</t>
  </si>
  <si>
    <t>Total Deductions (B)</t>
  </si>
  <si>
    <t>Net Take Home (A - B)</t>
  </si>
  <si>
    <t>Note: PF = 12% of Basic. ESIC = 0.75% of Gross (only while Gross is within the statutory ESIC wage ceiling). Professional Tax follows the Maharashtra slab (₹200/month for 11 months + ₹300 in one month = ₹2,500 p.a., once gross exceeds ₹10,000/month). All rates are editable in the Assumptions table below.</t>
  </si>
  <si>
    <t>Assumptions / Rates Used (editable inputs)</t>
  </si>
  <si>
    <t>Parameter</t>
  </si>
  <si>
    <t>Value</t>
  </si>
  <si>
    <t>Basic — % of Gross Salary</t>
  </si>
  <si>
    <t>HRA — % of Basic</t>
  </si>
  <si>
    <t>Conveyance — fixed amount per month (₹)</t>
  </si>
  <si>
    <t>Medical Allowance — fixed amount per month (₹)</t>
  </si>
  <si>
    <t>Provident Fund (PF) — % of Basic</t>
  </si>
  <si>
    <t>ESIC — % of Gross Salary</t>
  </si>
  <si>
    <t>ESIC wage ceiling — monthly gross (₹)</t>
  </si>
  <si>
    <t>Professional Tax — NIL if monthly gross ≤ (₹)</t>
  </si>
  <si>
    <t>Professional Tax — mid-slab if monthly gross ≤ (₹)</t>
  </si>
  <si>
    <t>Professional Tax — mid-slab amount (₹/month)</t>
  </si>
  <si>
    <t>Professional Tax — top-slab amount (₹/month)</t>
  </si>
  <si>
    <t>Professional Tax — top-slab annual override (₹ p.a.)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</si>
</sst>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000000"/>
      <name val="Arial"/>
      <charset val="1"/>
    </font>
    <font>
      <b/>
      <sz val="11"/>
      <color rgb="FF0000FF"/>
      <name val="Arial"/>
      <charset val="1"/>
    </font>
    <font>
      <i/>
      <sz val="11"/>
      <color rgb="FF595959"/>
      <name val="Arial"/>
      <charset val="1"/>
    </font>
    <font>
      <i/>
      <sz val="9"/>
      <color rgb="FF595959"/>
      <name val="Arial"/>
      <charset val="1"/>
    </font>
    <font>
      <sz val="11"/>
      <color rgb="FF000000"/>
      <name val="Arial"/>
      <charset val="1"/>
    </font>
    <font>
      <b/>
      <i/>
      <sz val="11"/>
      <color rgb="FFFF0000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388A6"/>
        <bgColor rgb="FF008080"/>
      </patternFill>
    </fill>
    <fill>
      <patternFill patternType="solid">
        <fgColor rgb="FFFFF7CC"/>
        <bgColor rgb="FFF2F2F2"/>
      </patternFill>
    </fill>
    <fill>
      <patternFill patternType="solid">
        <fgColor rgb="FFEAEAEA"/>
        <bgColor rgb="FFF2F2F2"/>
      </patternFill>
    </fill>
    <fill>
      <patternFill patternType="solid">
        <fgColor rgb="FFF2F2F2"/>
        <bgColor rgb="FFE8F7F7"/>
      </patternFill>
    </fill>
    <fill>
      <patternFill patternType="solid">
        <fgColor rgb="FFE8F7F7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388A6"/>
      <rgbColor rgb="FFC0C0C0"/>
      <rgbColor rgb="FF808080"/>
      <rgbColor rgb="FF9999FF"/>
      <rgbColor rgb="FF993366"/>
      <rgbColor rgb="FFFFF7CC"/>
      <rgbColor rgb="FFE8F7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AEAE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190080</xdr:colOff>
      <xdr:row>0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78200" y="0"/>
          <a:ext cx="190080" cy="266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9"/>
  <sheetViews>
    <sheetView showGridLines="0" tabSelected="1" topLeftCell="A7" zoomScaleNormal="100" workbookViewId="0">
      <selection activeCell="B6" sqref="B6"/>
    </sheetView>
  </sheetViews>
  <sheetFormatPr defaultColWidth="8.7109375" defaultRowHeight="15" x14ac:dyDescent="0.25"/>
  <cols>
    <col min="1" max="1" width="26" customWidth="1"/>
    <col min="2" max="2" width="22" customWidth="1"/>
    <col min="3" max="4" width="24" customWidth="1"/>
  </cols>
  <sheetData>
    <row r="1" spans="1:4" ht="30" customHeight="1" x14ac:dyDescent="0.25">
      <c r="A1" s="21" t="s">
        <v>0</v>
      </c>
      <c r="B1" s="21"/>
      <c r="C1" s="21"/>
      <c r="D1" s="21"/>
    </row>
    <row r="3" spans="1:4" x14ac:dyDescent="0.25">
      <c r="A3" s="1" t="s">
        <v>1</v>
      </c>
      <c r="B3" s="2" t="s">
        <v>2</v>
      </c>
    </row>
    <row r="4" spans="1:4" x14ac:dyDescent="0.25">
      <c r="A4" s="1" t="s">
        <v>3</v>
      </c>
      <c r="B4" s="3">
        <v>18000</v>
      </c>
    </row>
    <row r="5" spans="1:4" ht="28.5" x14ac:dyDescent="0.25">
      <c r="A5" s="4" t="s">
        <v>4</v>
      </c>
      <c r="B5" s="5">
        <v>27000</v>
      </c>
    </row>
    <row r="6" spans="1:4" ht="28.5" x14ac:dyDescent="0.25">
      <c r="A6" s="4" t="s">
        <v>5</v>
      </c>
      <c r="B6" s="5">
        <f>B5*12</f>
        <v>324000</v>
      </c>
    </row>
    <row r="7" spans="1:4" ht="22.35" customHeight="1" x14ac:dyDescent="0.25">
      <c r="A7" s="15" t="s">
        <v>6</v>
      </c>
      <c r="B7" s="15"/>
      <c r="C7" s="15"/>
      <c r="D7" s="15"/>
    </row>
    <row r="9" spans="1:4" ht="15" customHeight="1" x14ac:dyDescent="0.25">
      <c r="A9" s="22" t="s">
        <v>7</v>
      </c>
      <c r="B9" s="22"/>
      <c r="C9" s="22"/>
      <c r="D9" s="22"/>
    </row>
    <row r="10" spans="1:4" ht="15" customHeight="1" x14ac:dyDescent="0.25">
      <c r="A10" s="22" t="s">
        <v>8</v>
      </c>
      <c r="B10" s="22"/>
      <c r="C10" s="22"/>
      <c r="D10" s="22"/>
    </row>
    <row r="11" spans="1:4" ht="31.5" customHeight="1" x14ac:dyDescent="0.25">
      <c r="A11" s="19" t="s">
        <v>9</v>
      </c>
      <c r="B11" s="19"/>
      <c r="C11" s="6" t="s">
        <v>10</v>
      </c>
      <c r="D11" s="6" t="s">
        <v>11</v>
      </c>
    </row>
    <row r="12" spans="1:4" ht="15" customHeight="1" x14ac:dyDescent="0.25">
      <c r="A12" s="18" t="s">
        <v>12</v>
      </c>
      <c r="B12" s="7" t="s">
        <v>13</v>
      </c>
      <c r="C12" s="8">
        <f>$B$5*$D$28</f>
        <v>13500</v>
      </c>
      <c r="D12" s="8">
        <f>C12*12</f>
        <v>162000</v>
      </c>
    </row>
    <row r="13" spans="1:4" x14ac:dyDescent="0.25">
      <c r="A13" s="18"/>
      <c r="B13" s="7" t="s">
        <v>14</v>
      </c>
      <c r="C13" s="8">
        <f>C12*$D$29</f>
        <v>5400</v>
      </c>
      <c r="D13" s="8">
        <f>C13*12</f>
        <v>64800</v>
      </c>
    </row>
    <row r="14" spans="1:4" x14ac:dyDescent="0.25">
      <c r="A14" s="18"/>
      <c r="B14" s="7" t="s">
        <v>15</v>
      </c>
      <c r="C14" s="8">
        <f>$D$30</f>
        <v>2000</v>
      </c>
      <c r="D14" s="8">
        <f>C14*12</f>
        <v>24000</v>
      </c>
    </row>
    <row r="15" spans="1:4" x14ac:dyDescent="0.25">
      <c r="A15" s="18"/>
      <c r="B15" s="7" t="s">
        <v>16</v>
      </c>
      <c r="C15" s="8">
        <f>$D$31</f>
        <v>1800</v>
      </c>
      <c r="D15" s="8">
        <f>C15*12</f>
        <v>21600</v>
      </c>
    </row>
    <row r="16" spans="1:4" x14ac:dyDescent="0.25">
      <c r="A16" s="18"/>
      <c r="B16" s="7" t="s">
        <v>17</v>
      </c>
      <c r="C16" s="8">
        <f>$B$5-SUM(C12:C15)</f>
        <v>4300</v>
      </c>
      <c r="D16" s="8">
        <f>C16*12</f>
        <v>51600</v>
      </c>
    </row>
    <row r="17" spans="1:4" ht="15" customHeight="1" x14ac:dyDescent="0.25">
      <c r="A17" s="19" t="s">
        <v>18</v>
      </c>
      <c r="B17" s="19"/>
      <c r="C17" s="9">
        <f>SUM(C12:C16)</f>
        <v>27000</v>
      </c>
      <c r="D17" s="9">
        <f>SUM(D12:D16)</f>
        <v>324000</v>
      </c>
    </row>
    <row r="18" spans="1:4" ht="15" customHeight="1" x14ac:dyDescent="0.25">
      <c r="A18" s="18" t="s">
        <v>19</v>
      </c>
      <c r="B18" s="7" t="s">
        <v>20</v>
      </c>
      <c r="C18" s="8">
        <f>C12*$D$32</f>
        <v>1620</v>
      </c>
      <c r="D18" s="8">
        <f>C18*12</f>
        <v>19440</v>
      </c>
    </row>
    <row r="19" spans="1:4" x14ac:dyDescent="0.25">
      <c r="A19" s="18"/>
      <c r="B19" s="7" t="s">
        <v>21</v>
      </c>
      <c r="C19" s="8">
        <f>IF($B$5&lt;=$D$35,0,IF($B$5&lt;=$D$36,$D$37,$D$38))</f>
        <v>200</v>
      </c>
      <c r="D19" s="8">
        <f>IF($B$5&lt;=$D$35,0,IF($B$5&lt;=$D$36,$D$37*12,$D$39))</f>
        <v>2500</v>
      </c>
    </row>
    <row r="20" spans="1:4" x14ac:dyDescent="0.25">
      <c r="A20" s="18"/>
      <c r="B20" s="7" t="s">
        <v>22</v>
      </c>
      <c r="C20" s="8">
        <f>IF($B$5&lt;=$D$34,$B$5*$D$33,0)</f>
        <v>0</v>
      </c>
      <c r="D20" s="8">
        <f>C20*12</f>
        <v>0</v>
      </c>
    </row>
    <row r="21" spans="1:4" ht="15" customHeight="1" x14ac:dyDescent="0.25">
      <c r="A21" s="19" t="s">
        <v>23</v>
      </c>
      <c r="B21" s="19"/>
      <c r="C21" s="9">
        <f>SUM(C18:C20)</f>
        <v>1820</v>
      </c>
      <c r="D21" s="9">
        <f>SUM(D18:D20)</f>
        <v>21940</v>
      </c>
    </row>
    <row r="22" spans="1:4" ht="15" customHeight="1" x14ac:dyDescent="0.25">
      <c r="A22" s="20" t="s">
        <v>24</v>
      </c>
      <c r="B22" s="20"/>
      <c r="C22" s="10">
        <f>C17-C21</f>
        <v>25180</v>
      </c>
      <c r="D22" s="10">
        <f>D17-D21</f>
        <v>302060</v>
      </c>
    </row>
    <row r="23" spans="1:4" x14ac:dyDescent="0.25">
      <c r="A23" s="14" t="str">
        <f>IF(C16&lt;0,"⚠ Warning: Conveyance + Medical Allowance exceed the gross salary entered. Special Allowance is negative — please review the input or assumptions.","")</f>
        <v/>
      </c>
      <c r="B23" s="14"/>
      <c r="C23" s="14"/>
      <c r="D23" s="14"/>
    </row>
    <row r="24" spans="1:4" ht="27.75" customHeight="1" x14ac:dyDescent="0.25">
      <c r="A24" s="15" t="s">
        <v>25</v>
      </c>
      <c r="B24" s="15"/>
      <c r="C24" s="15"/>
      <c r="D24" s="15"/>
    </row>
    <row r="26" spans="1:4" ht="15" customHeight="1" x14ac:dyDescent="0.25">
      <c r="A26" s="16" t="s">
        <v>26</v>
      </c>
      <c r="B26" s="16"/>
      <c r="C26" s="16"/>
      <c r="D26" s="16"/>
    </row>
    <row r="27" spans="1:4" ht="15" customHeight="1" x14ac:dyDescent="0.25">
      <c r="A27" s="17" t="s">
        <v>27</v>
      </c>
      <c r="B27" s="17"/>
      <c r="C27" s="17"/>
      <c r="D27" s="6" t="s">
        <v>28</v>
      </c>
    </row>
    <row r="28" spans="1:4" ht="15" customHeight="1" x14ac:dyDescent="0.25">
      <c r="A28" s="13" t="s">
        <v>29</v>
      </c>
      <c r="B28" s="13"/>
      <c r="C28" s="13"/>
      <c r="D28" s="11">
        <v>0.5</v>
      </c>
    </row>
    <row r="29" spans="1:4" ht="15" customHeight="1" x14ac:dyDescent="0.25">
      <c r="A29" s="13" t="s">
        <v>30</v>
      </c>
      <c r="B29" s="13"/>
      <c r="C29" s="13"/>
      <c r="D29" s="11">
        <v>0.4</v>
      </c>
    </row>
    <row r="30" spans="1:4" ht="15" customHeight="1" x14ac:dyDescent="0.25">
      <c r="A30" s="13" t="s">
        <v>31</v>
      </c>
      <c r="B30" s="13"/>
      <c r="C30" s="13"/>
      <c r="D30" s="12">
        <v>2000</v>
      </c>
    </row>
    <row r="31" spans="1:4" ht="15" customHeight="1" x14ac:dyDescent="0.25">
      <c r="A31" s="13" t="s">
        <v>32</v>
      </c>
      <c r="B31" s="13"/>
      <c r="C31" s="13"/>
      <c r="D31" s="12">
        <v>1800</v>
      </c>
    </row>
    <row r="32" spans="1:4" ht="15" customHeight="1" x14ac:dyDescent="0.25">
      <c r="A32" s="13" t="s">
        <v>33</v>
      </c>
      <c r="B32" s="13"/>
      <c r="C32" s="13"/>
      <c r="D32" s="11">
        <v>0.12</v>
      </c>
    </row>
    <row r="33" spans="1:4" ht="15" customHeight="1" x14ac:dyDescent="0.25">
      <c r="A33" s="13" t="s">
        <v>34</v>
      </c>
      <c r="B33" s="13"/>
      <c r="C33" s="13"/>
      <c r="D33" s="11">
        <v>7.4999999999999997E-3</v>
      </c>
    </row>
    <row r="34" spans="1:4" ht="15" customHeight="1" x14ac:dyDescent="0.25">
      <c r="A34" s="13" t="s">
        <v>35</v>
      </c>
      <c r="B34" s="13"/>
      <c r="C34" s="13"/>
      <c r="D34" s="12">
        <v>21000</v>
      </c>
    </row>
    <row r="35" spans="1:4" ht="15" customHeight="1" x14ac:dyDescent="0.25">
      <c r="A35" s="13" t="s">
        <v>36</v>
      </c>
      <c r="B35" s="13"/>
      <c r="C35" s="13"/>
      <c r="D35" s="12">
        <v>7500</v>
      </c>
    </row>
    <row r="36" spans="1:4" ht="15" customHeight="1" x14ac:dyDescent="0.25">
      <c r="A36" s="13" t="s">
        <v>37</v>
      </c>
      <c r="B36" s="13"/>
      <c r="C36" s="13"/>
      <c r="D36" s="12">
        <v>10000</v>
      </c>
    </row>
    <row r="37" spans="1:4" ht="15" customHeight="1" x14ac:dyDescent="0.25">
      <c r="A37" s="13" t="s">
        <v>38</v>
      </c>
      <c r="B37" s="13"/>
      <c r="C37" s="13"/>
      <c r="D37" s="12">
        <v>175</v>
      </c>
    </row>
    <row r="38" spans="1:4" ht="15" customHeight="1" x14ac:dyDescent="0.25">
      <c r="A38" s="13" t="s">
        <v>39</v>
      </c>
      <c r="B38" s="13"/>
      <c r="C38" s="13"/>
      <c r="D38" s="12">
        <v>200</v>
      </c>
    </row>
    <row r="39" spans="1:4" ht="15" customHeight="1" x14ac:dyDescent="0.25">
      <c r="A39" s="13" t="s">
        <v>40</v>
      </c>
      <c r="B39" s="13"/>
      <c r="C39" s="13"/>
      <c r="D39" s="12">
        <v>2500</v>
      </c>
    </row>
  </sheetData>
  <mergeCells count="26">
    <mergeCell ref="A1:D1"/>
    <mergeCell ref="A7:D7"/>
    <mergeCell ref="A9:D9"/>
    <mergeCell ref="A10:D10"/>
    <mergeCell ref="A11:B11"/>
    <mergeCell ref="A12:A16"/>
    <mergeCell ref="A17:B17"/>
    <mergeCell ref="A18:A20"/>
    <mergeCell ref="A21:B21"/>
    <mergeCell ref="A22:B22"/>
    <mergeCell ref="A23:D23"/>
    <mergeCell ref="A24:D24"/>
    <mergeCell ref="A26:D26"/>
    <mergeCell ref="A27:C27"/>
    <mergeCell ref="A28:C28"/>
    <mergeCell ref="A29:C29"/>
    <mergeCell ref="A30:C30"/>
    <mergeCell ref="A31:C31"/>
    <mergeCell ref="A32:C32"/>
    <mergeCell ref="A33:C33"/>
    <mergeCell ref="A39:C39"/>
    <mergeCell ref="A34:C34"/>
    <mergeCell ref="A35:C35"/>
    <mergeCell ref="A36:C36"/>
    <mergeCell ref="A37:C37"/>
    <mergeCell ref="A38:C38"/>
  </mergeCells>
  <dataValidations count="1">
    <dataValidation type="list" sqref="B3" xr:uid="{00000000-0002-0000-0000-000000000000}">
      <formula1>"Monthly,Yearly"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Salary Structure</vt:lpstr>
      <vt:lpstr>'Salary Structure'!Print_Area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Pritam Techie</cp:lastModifiedBy>
  <cp:revision>0</cp:revision>
  <dcterms:created xsi:type="dcterms:W3CDTF">2026-06-22T08:17:13Z</dcterms:created>
  <dcterms:modified xsi:type="dcterms:W3CDTF">2026-06-22T09:04:58Z</dcterms:modified>
  <dc:language>en-US</dc:language>
</cp:coreProperties>
</file>